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8" tabRatio="500"/>
  </bookViews>
  <sheets>
    <sheet name="Assumptions" sheetId="1" r:id="rId1"/>
    <sheet name="ROI Calculation" sheetId="2" r:id="rId2"/>
    <sheet name="KPI 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<sst xmlns="http://schemas.openxmlformats.org/spreadsheetml/2006/main" count="98" uniqueCount="98">
  <si>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BremsenTech GmbH  ROI Model : Assumptions Tab</t>
  </si>
  <si>
    <t>Input Variable</t>
  </si>
  <si>
    <t>Value (EUR / unit)</t>
  </si>
  <si>
    <t>Notes / Source</t>
  </si>
  <si>
    <t>Monthly order volume (orders/month)</t>
  </si>
  <si>
    <t>BremsenTech operational baseline (fictional)</t>
  </si>
  <si>
    <t>Average order value (EUR)</t>
  </si>
  <si>
    <t>Based on brake disc unit pricing, ~85K units / ~680 orders per month</t>
  </si>
  <si>
    <t>Manual data entry error rate (AS-IS)</t>
  </si>
  <si>
    <t>APQC benchmarking having 4% error rate for manual ERP entry</t>
  </si>
  <si>
    <t>Manual data entry error rate (TO-BE)</t>
  </si>
  <si>
    <t>SAP SD automated entry which will shows residual errors &lt;0.1%</t>
  </si>
  <si>
    <t>Time per manual order entry (minutes)</t>
  </si>
  <si>
    <t>Internal BremsenTech process estimate</t>
  </si>
  <si>
    <t>Average production scheduling delay AS-IS (days)</t>
  </si>
  <si>
    <t>Excel-based scheduling bottleneck observed in process audit</t>
  </si>
  <si>
    <t>Average production scheduling delay TO-BE (days)</t>
  </si>
  <si>
    <t>SAP PP MRP planning run and at same-day scheduling</t>
  </si>
  <si>
    <t>Defective units shipped 2024</t>
  </si>
  <si>
    <t>BremsenTech quality records, end-of-line detection gap</t>
  </si>
  <si>
    <t>Average return/rework cost per defective unit (EUR)</t>
  </si>
  <si>
    <t>Industry standard automotive warranty/rework cost</t>
  </si>
  <si>
    <t>AR monthly balance (EUR)</t>
  </si>
  <si>
    <t>Based on EUR 38M revenue / 12 months * payment terms adjustment</t>
  </si>
  <si>
    <t>Invoice lag AS-IS (days)</t>
  </si>
  <si>
    <t>BremsenTech accounts receivable process (measured average)</t>
  </si>
  <si>
    <t>Invoice lag TO-BE (days)</t>
  </si>
  <si>
    <t>Automated EDI INVOIC on goods issue confirmation</t>
  </si>
  <si>
    <t>Cost of capital / financing rate</t>
  </si>
  <si>
    <t>3% financing rate, standard SME assumption (Ardent Partners)</t>
  </si>
  <si>
    <t>SLA penalty per year to Continental (EUR)</t>
  </si>
  <si>
    <t>Contractual SLA clause, 9pp OTD miss vs 96% target</t>
  </si>
  <si>
    <t>Inventory value (EUR)</t>
  </si>
  <si>
    <t>Estimated based on 9x turns on EUR 38M revenue base</t>
  </si>
  <si>
    <t>Inventory holding cost rate</t>
  </si>
  <si>
    <t>10% holding cost as standard supply chain benchmark</t>
  </si>
  <si>
    <t>Target inventory turns AS-IS</t>
  </si>
  <si>
    <t>BremsenTech current and Deloitte benchmark comparison</t>
  </si>
  <si>
    <t>Target inventory turns TO-BE</t>
  </si>
  <si>
    <t>Post-EWM + MRP optimisation target</t>
  </si>
  <si>
    <t>Order rework cost per error (EUR)</t>
  </si>
  <si>
    <t>Internal rework + customer communication cost estimate</t>
  </si>
  <si>
    <t>Annual expediting cost from scheduling delays (EUR)</t>
  </si>
  <si>
    <t>Carrier premium + overtime estimate from 2.1-day avg delays</t>
  </si>
  <si>
    <t>BremsenTech GmbH — Annual Cost of Process Gaps &amp; Projected SAP Savings</t>
  </si>
  <si>
    <t>Gap ID</t>
  </si>
  <si>
    <t>Gap Title</t>
  </si>
  <si>
    <t>Calculation Logic</t>
  </si>
  <si>
    <t>Annual Cost AS-IS (EUR)</t>
  </si>
  <si>
    <t>Annual Savings TO-BE (EUR)</t>
  </si>
  <si>
    <t>Residual Cost (EUR)</t>
  </si>
  <si>
    <t>SAP Fix</t>
  </si>
  <si>
    <t>G-01</t>
  </si>
  <si>
    <t>Zero EDI Integration</t>
  </si>
  <si>
    <t>Lost BMW Tier-1 opportunity (conservative pipeline)</t>
  </si>
  <si>
    <t>SAP SD + Integration Suite (BTP EDI)</t>
  </si>
  <si>
    <t>G-02</t>
  </si>
  <si>
    <t>Manual Order Entry Errors</t>
  </si>
  <si>
    <t>85 orders/mo × 4% error rate × EUR 150 rework cost</t>
  </si>
  <si>
    <t>SAP SD — automated PO import (EDI ORDERS)</t>
  </si>
  <si>
    <t>G-03</t>
  </si>
  <si>
    <t>Excel Production Scheduling Delays</t>
  </si>
  <si>
    <t>Scheduling delay cost + expediting premiums</t>
  </si>
  <si>
    <t>SAP PP — MRP/MPS planning runs</t>
  </si>
  <si>
    <t>G-04</t>
  </si>
  <si>
    <t>End-of-Line Batch QC Detection</t>
  </si>
  <si>
    <t>340 defective units × EUR 250 return/rework cost</t>
  </si>
  <si>
    <t>SAP QM — inline inspection at each stage</t>
  </si>
  <si>
    <t>G-05</t>
  </si>
  <si>
    <t>Manual Invoice Lag (8.5 days)</t>
  </si>
  <si>
    <t>AR balance × days lag × cost of capital</t>
  </si>
  <si>
    <t>SAP FI/AR — automated EDI INVOIC</t>
  </si>
  <si>
    <t>G-06</t>
  </si>
  <si>
    <t>No Delivery Visibility (SLA breach)</t>
  </si>
  <si>
    <t>Continental SLA penalty clause</t>
  </si>
  <si>
    <t>SAP TM / BTP — carrier booking + tracking</t>
  </si>
  <si>
    <t>G-07</t>
  </si>
  <si>
    <t>Fragmented Inventory Data</t>
  </si>
  <si>
    <t>Excess holding cost from low inventory turns</t>
  </si>
  <si>
    <t>SAP MM + EWM — real-time bin tracking</t>
  </si>
  <si>
    <t>TOTAL</t>
  </si>
  <si>
    <t>(excl. EUR 4M+ OEM opportunity)</t>
  </si>
  <si>
    <t>Summary</t>
  </si>
  <si>
    <t>Gross annual cost of 7 process gaps (excl. EUR 4M opportunity):   €683,200</t>
  </si>
  <si>
    <t>Projected annual savings post SAP S/4HANA implementation:          €600,000+</t>
  </si>
  <si>
    <t>BremsenTech GmbH — AS-IS vs TO-BE KPI Comparison</t>
  </si>
  <si>
    <t>KPI Metric</t>
  </si>
  <si>
    <t>AS-IS (Current)</t>
  </si>
  <si>
    <t>TO-BE (Target)</t>
  </si>
  <si>
    <t>Improvement</t>
  </si>
  <si>
    <t>OtD Cycle Time (days)</t>
  </si>
  <si>
    <t>On-Time Delivery Rate (%)</t>
  </si>
  <si>
    <t>Inventory Turnover (x / year)</t>
  </si>
  <si>
    <t>Invoice Processing Time (days)</t>
  </si>
  <si>
    <t>Manual Process Handoffs</t>
  </si>
  <si>
    <t>Annual Process Cost (EUR)</t>
  </si>
  <si>
    <t>On-Time Delivery vs Target (pp gap)</t>
  </si>
  <si>
    <t>EDI Integration Rate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</si>
</sst>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  <numFmt numFmtId="177" formatCode="&quot;€&quot;#,##0"/>
  </numFmts>
  <fonts count="36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E293B"/>
      <name val="Arial"/>
      <charset val="1"/>
    </font>
    <font>
      <b/>
      <sz val="10"/>
      <color rgb="FFC0392B"/>
      <name val="Arial"/>
      <charset val="1"/>
    </font>
    <font>
      <b/>
      <sz val="10"/>
      <color rgb="FF1A7A4A"/>
      <name val="Arial"/>
      <charset val="1"/>
    </font>
    <font>
      <b/>
      <sz val="10"/>
      <color rgb="FF2563A8"/>
      <name val="Arial"/>
      <charset val="1"/>
    </font>
    <font>
      <i/>
      <sz val="9"/>
      <color rgb="FF64748B"/>
      <name val="Arial"/>
      <charset val="1"/>
    </font>
    <font>
      <b/>
      <sz val="10"/>
      <color rgb="FF0000FF"/>
      <name val="Arial"/>
      <charset val="1"/>
    </font>
    <font>
      <sz val="10"/>
      <color rgb="FF2563A8"/>
      <name val="Arial"/>
      <charset val="1"/>
    </font>
    <font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color rgb="FF1A7A4A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A2B4A"/>
        <bgColor rgb="FF1E293B"/>
      </patternFill>
    </fill>
    <fill>
      <patternFill patternType="solid">
        <fgColor rgb="FF2563A8"/>
        <bgColor rgb="FF3366FF"/>
      </patternFill>
    </fill>
    <fill>
      <patternFill patternType="solid">
        <fgColor rgb="FFF8FAFC"/>
        <bgColor rgb="FFFFFFFF"/>
      </patternFill>
    </fill>
    <fill>
      <patternFill patternType="solid">
        <fgColor rgb="FFFDECEA"/>
        <bgColor rgb="FFFEF9E7"/>
      </patternFill>
    </fill>
    <fill>
      <patternFill patternType="solid">
        <fgColor rgb="FFE6F4EA"/>
        <bgColor rgb="FFF0FDF4"/>
      </patternFill>
    </fill>
    <fill>
      <patternFill patternType="solid">
        <fgColor rgb="FFF0FDF4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EF9E7"/>
        <bgColor rgb="FFF8FA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Border="0" applyAlignment="0" applyProtection="0"/>
    <xf numFmtId="44" fontId="15" fillId="0" borderId="0" applyBorder="0" applyAlignment="0" applyProtection="0"/>
    <xf numFmtId="9" fontId="15" fillId="0" borderId="0" applyBorder="0" applyAlignment="0" applyProtection="0"/>
    <xf numFmtId="41" fontId="15" fillId="0" borderId="0" applyBorder="0" applyAlignment="0" applyProtection="0"/>
    <xf numFmtId="42" fontId="15" fillId="0" borderId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6" applyNumberFormat="0" applyAlignment="0" applyProtection="0">
      <alignment vertical="center"/>
    </xf>
    <xf numFmtId="0" fontId="26" fillId="12" borderId="7" applyNumberFormat="0" applyAlignment="0" applyProtection="0">
      <alignment vertical="center"/>
    </xf>
    <xf numFmtId="0" fontId="27" fillId="12" borderId="6" applyNumberFormat="0" applyAlignment="0" applyProtection="0">
      <alignment vertical="center"/>
    </xf>
    <xf numFmtId="0" fontId="28" fillId="13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0" fontId="5" fillId="7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 wrapText="1"/>
    </xf>
    <xf numFmtId="176" fontId="4" fillId="5" borderId="2" xfId="0" applyNumberFormat="1" applyFont="1" applyFill="1" applyBorder="1" applyAlignment="1">
      <alignment horizontal="center" vertical="center"/>
    </xf>
    <xf numFmtId="176" fontId="5" fillId="6" borderId="2" xfId="0" applyNumberFormat="1" applyFont="1" applyFill="1" applyBorder="1" applyAlignment="1">
      <alignment horizontal="center" vertical="center"/>
    </xf>
    <xf numFmtId="176" fontId="5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77" fontId="4" fillId="5" borderId="2" xfId="0" applyNumberFormat="1" applyFont="1" applyFill="1" applyBorder="1" applyAlignment="1">
      <alignment horizontal="center" vertical="center"/>
    </xf>
    <xf numFmtId="177" fontId="5" fillId="6" borderId="2" xfId="0" applyNumberFormat="1" applyFont="1" applyFill="1" applyBorder="1" applyAlignment="1">
      <alignment horizontal="center" vertical="center"/>
    </xf>
    <xf numFmtId="177" fontId="5" fillId="7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177" fontId="8" fillId="9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177" fontId="11" fillId="2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left" vertical="center" wrapText="1"/>
    </xf>
    <xf numFmtId="3" fontId="13" fillId="8" borderId="2" xfId="0" applyNumberFormat="1" applyFont="1" applyFill="1" applyBorder="1" applyAlignment="1">
      <alignment horizontal="center" vertical="center" wrapText="1"/>
    </xf>
    <xf numFmtId="176" fontId="13" fillId="8" borderId="2" xfId="0" applyNumberFormat="1" applyFont="1" applyFill="1" applyBorder="1" applyAlignment="1">
      <alignment horizontal="center" vertical="center" wrapText="1"/>
    </xf>
    <xf numFmtId="4" fontId="13" fillId="8" borderId="2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A7A4A"/>
      <rgbColor rgb="00C0C0C0"/>
      <rgbColor rgb="00808080"/>
      <rgbColor rgb="009999FF"/>
      <rgbColor rgb="00993366"/>
      <rgbColor rgb="00FEF9E7"/>
      <rgbColor rgb="00E6F4EA"/>
      <rgbColor rgb="00660066"/>
      <rgbColor rgb="00FF8080"/>
      <rgbColor rgb="002563A8"/>
      <rgbColor rgb="00CBD5E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0FDF4"/>
      <rgbColor rgb="00F8FAFC"/>
      <rgbColor rgb="00FDECEA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4748B"/>
      <rgbColor rgb="00969696"/>
      <rgbColor rgb="001A2B4A"/>
      <rgbColor rgb="00339966"/>
      <rgbColor rgb="00003300"/>
      <rgbColor rgb="00333300"/>
      <rgbColor rgb="00C0392B"/>
      <rgbColor rgb="00993366"/>
      <rgbColor rgb="00333399"/>
      <rgbColor rgb="00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zoomScale="118" zoomScaleNormal="118" topLeftCell="A2" workbookViewId="0">
      <selection activeCell="C20" sqref="C20"/>
    </sheetView>
  </sheetViews>
  <sheetFormatPr defaultColWidth="8.67592592592593" defaultRowHeight="14.4" outlineLevelCol="2"/>
  <cols>
    <col min="1" max="1" width="46.8888888888889" style="1" customWidth="1"/>
    <col min="2" max="2" width="22" style="1" customWidth="1"/>
    <col min="3" max="3" width="66.3333333333333" style="1" customWidth="1"/>
  </cols>
  <sheetData>
    <row r="1" ht="31.5" customHeight="1" spans="1:3">
      <c r="A1" s="2" t="s">
        <v>0</v>
      </c>
      <c r="B1" s="2"/>
      <c r="C1" s="2"/>
    </row>
    <row r="3" ht="15" customHeight="1" spans="1:3">
      <c r="A3" s="29" t="s">
        <v>1</v>
      </c>
      <c r="B3" s="30" t="s">
        <v>2</v>
      </c>
      <c r="C3" s="29" t="s">
        <v>3</v>
      </c>
    </row>
    <row r="4" ht="19.5" customHeight="1" spans="1:3">
      <c r="A4" s="31" t="s">
        <v>4</v>
      </c>
      <c r="B4" s="32">
        <v>85</v>
      </c>
      <c r="C4" s="31" t="s">
        <v>5</v>
      </c>
    </row>
    <row r="5" ht="19.5" customHeight="1" spans="1:3">
      <c r="A5" s="31" t="s">
        <v>6</v>
      </c>
      <c r="B5" s="32">
        <v>12500</v>
      </c>
      <c r="C5" s="31" t="s">
        <v>7</v>
      </c>
    </row>
    <row r="6" ht="19.5" customHeight="1" spans="1:3">
      <c r="A6" s="31" t="s">
        <v>8</v>
      </c>
      <c r="B6" s="33">
        <v>0.04</v>
      </c>
      <c r="C6" s="31" t="s">
        <v>9</v>
      </c>
    </row>
    <row r="7" ht="19.5" customHeight="1" spans="1:3">
      <c r="A7" s="31" t="s">
        <v>10</v>
      </c>
      <c r="B7" s="33">
        <v>0.001</v>
      </c>
      <c r="C7" s="31" t="s">
        <v>11</v>
      </c>
    </row>
    <row r="8" ht="19.5" customHeight="1" spans="1:3">
      <c r="A8" s="31" t="s">
        <v>12</v>
      </c>
      <c r="B8" s="32">
        <v>23</v>
      </c>
      <c r="C8" s="31" t="s">
        <v>13</v>
      </c>
    </row>
    <row r="9" ht="19.5" customHeight="1" spans="1:3">
      <c r="A9" s="31" t="s">
        <v>14</v>
      </c>
      <c r="B9" s="34">
        <v>2.1</v>
      </c>
      <c r="C9" s="31" t="s">
        <v>15</v>
      </c>
    </row>
    <row r="10" ht="19.5" customHeight="1" spans="1:3">
      <c r="A10" s="31" t="s">
        <v>16</v>
      </c>
      <c r="B10" s="33">
        <v>0.2</v>
      </c>
      <c r="C10" s="31" t="s">
        <v>17</v>
      </c>
    </row>
    <row r="11" ht="19.5" customHeight="1" spans="1:3">
      <c r="A11" s="31" t="s">
        <v>18</v>
      </c>
      <c r="B11" s="32">
        <v>340</v>
      </c>
      <c r="C11" s="31" t="s">
        <v>19</v>
      </c>
    </row>
    <row r="12" ht="19.5" customHeight="1" spans="1:3">
      <c r="A12" s="31" t="s">
        <v>20</v>
      </c>
      <c r="B12" s="32">
        <v>250</v>
      </c>
      <c r="C12" s="31" t="s">
        <v>21</v>
      </c>
    </row>
    <row r="13" ht="19.5" customHeight="1" spans="1:3">
      <c r="A13" s="31" t="s">
        <v>22</v>
      </c>
      <c r="B13" s="32">
        <v>1300000</v>
      </c>
      <c r="C13" s="31" t="s">
        <v>23</v>
      </c>
    </row>
    <row r="14" ht="19.5" customHeight="1" spans="1:3">
      <c r="A14" s="31" t="s">
        <v>24</v>
      </c>
      <c r="B14" s="34">
        <v>8.5</v>
      </c>
      <c r="C14" s="31" t="s">
        <v>25</v>
      </c>
    </row>
    <row r="15" ht="19.5" customHeight="1" spans="1:3">
      <c r="A15" s="31" t="s">
        <v>26</v>
      </c>
      <c r="B15" s="33">
        <v>0.5</v>
      </c>
      <c r="C15" s="31" t="s">
        <v>27</v>
      </c>
    </row>
    <row r="16" ht="19.5" customHeight="1" spans="1:3">
      <c r="A16" s="31" t="s">
        <v>28</v>
      </c>
      <c r="B16" s="33">
        <v>0.03</v>
      </c>
      <c r="C16" s="31" t="s">
        <v>29</v>
      </c>
    </row>
    <row r="17" ht="19.5" customHeight="1" spans="1:3">
      <c r="A17" s="31" t="s">
        <v>30</v>
      </c>
      <c r="B17" s="32">
        <v>180000</v>
      </c>
      <c r="C17" s="31" t="s">
        <v>31</v>
      </c>
    </row>
    <row r="18" ht="19.5" customHeight="1" spans="1:3">
      <c r="A18" s="31" t="s">
        <v>32</v>
      </c>
      <c r="B18" s="32">
        <v>2800000</v>
      </c>
      <c r="C18" s="31" t="s">
        <v>33</v>
      </c>
    </row>
    <row r="19" ht="19.5" customHeight="1" spans="1:3">
      <c r="A19" s="31" t="s">
        <v>34</v>
      </c>
      <c r="B19" s="33">
        <v>0.1</v>
      </c>
      <c r="C19" s="31" t="s">
        <v>35</v>
      </c>
    </row>
    <row r="20" ht="19.5" customHeight="1" spans="1:3">
      <c r="A20" s="31" t="s">
        <v>36</v>
      </c>
      <c r="B20" s="32">
        <v>9</v>
      </c>
      <c r="C20" s="31" t="s">
        <v>37</v>
      </c>
    </row>
    <row r="21" ht="19.5" customHeight="1" spans="1:3">
      <c r="A21" s="31" t="s">
        <v>38</v>
      </c>
      <c r="B21" s="32">
        <v>14</v>
      </c>
      <c r="C21" s="31" t="s">
        <v>39</v>
      </c>
    </row>
    <row r="22" ht="19.5" customHeight="1" spans="1:3">
      <c r="A22" s="31" t="s">
        <v>40</v>
      </c>
      <c r="B22" s="32">
        <v>150</v>
      </c>
      <c r="C22" s="31" t="s">
        <v>41</v>
      </c>
    </row>
    <row r="23" ht="19.5" customHeight="1" spans="1:3">
      <c r="A23" s="31" t="s">
        <v>42</v>
      </c>
      <c r="B23" s="32">
        <v>18000</v>
      </c>
      <c r="C23" s="31" t="s">
        <v>43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:G1"/>
    </sheetView>
  </sheetViews>
  <sheetFormatPr defaultColWidth="8.67592592592593" defaultRowHeight="14.4" outlineLevelCol="6"/>
  <cols>
    <col min="1" max="1" width="8" style="1" customWidth="1"/>
    <col min="2" max="2" width="32" style="1" customWidth="1"/>
    <col min="3" max="3" width="30" style="1" customWidth="1"/>
    <col min="4" max="6" width="20" style="1" customWidth="1"/>
    <col min="7" max="7" width="28" style="1" customWidth="1"/>
  </cols>
  <sheetData>
    <row r="1" ht="31.5" customHeight="1" spans="1:7">
      <c r="A1" s="2" t="s">
        <v>44</v>
      </c>
      <c r="B1" s="2"/>
      <c r="C1" s="2"/>
      <c r="D1" s="2"/>
      <c r="E1" s="2"/>
      <c r="F1" s="2"/>
      <c r="G1" s="2"/>
    </row>
    <row r="3" ht="23.25" customHeight="1" spans="1:7">
      <c r="A3" s="4" t="s">
        <v>45</v>
      </c>
      <c r="B3" s="3" t="s">
        <v>46</v>
      </c>
      <c r="C3" s="3" t="s">
        <v>47</v>
      </c>
      <c r="D3" s="4" t="s">
        <v>48</v>
      </c>
      <c r="E3" s="4" t="s">
        <v>49</v>
      </c>
      <c r="F3" s="4" t="s">
        <v>50</v>
      </c>
      <c r="G3" s="3" t="s">
        <v>51</v>
      </c>
    </row>
    <row r="4" ht="21.75" customHeight="1" spans="1:7">
      <c r="A4" s="17" t="s">
        <v>52</v>
      </c>
      <c r="B4" s="5" t="s">
        <v>53</v>
      </c>
      <c r="C4" s="18" t="s">
        <v>54</v>
      </c>
      <c r="D4" s="14">
        <v>4000000</v>
      </c>
      <c r="E4" s="15">
        <v>4000000</v>
      </c>
      <c r="F4" s="19">
        <v>0</v>
      </c>
      <c r="G4" s="20" t="s">
        <v>55</v>
      </c>
    </row>
    <row r="5" ht="21.75" customHeight="1" spans="1:7">
      <c r="A5" s="21" t="s">
        <v>56</v>
      </c>
      <c r="B5" s="9" t="s">
        <v>57</v>
      </c>
      <c r="C5" s="22" t="s">
        <v>58</v>
      </c>
      <c r="D5" s="14">
        <f>Assumptions!B4*12*Assumptions!B6*Assumptions!B22</f>
        <v>6120</v>
      </c>
      <c r="E5" s="15">
        <f>Assumptions!B4*12*(Assumptions!B6-Assumptions!B7)*Assumptions!B22</f>
        <v>5967</v>
      </c>
      <c r="F5" s="19">
        <f t="shared" ref="F5:F10" si="0">D5-E5</f>
        <v>153.000000000001</v>
      </c>
      <c r="G5" s="23" t="s">
        <v>59</v>
      </c>
    </row>
    <row r="6" ht="21.75" customHeight="1" spans="1:7">
      <c r="A6" s="17" t="s">
        <v>60</v>
      </c>
      <c r="B6" s="5" t="s">
        <v>61</v>
      </c>
      <c r="C6" s="18" t="s">
        <v>62</v>
      </c>
      <c r="D6" s="14">
        <f>Assumptions!B4*12*Assumptions!B9*50+Assumptions!B23</f>
        <v>125100</v>
      </c>
      <c r="E6" s="15">
        <f>Assumptions!B4*12*(Assumptions!B9-Assumptions!B10)*50+Assumptions!B23*0.1</f>
        <v>98700</v>
      </c>
      <c r="F6" s="19">
        <f t="shared" si="0"/>
        <v>26400</v>
      </c>
      <c r="G6" s="20" t="s">
        <v>63</v>
      </c>
    </row>
    <row r="7" ht="21.75" customHeight="1" spans="1:7">
      <c r="A7" s="21" t="s">
        <v>64</v>
      </c>
      <c r="B7" s="9" t="s">
        <v>65</v>
      </c>
      <c r="C7" s="22" t="s">
        <v>66</v>
      </c>
      <c r="D7" s="14">
        <f>Assumptions!B11*Assumptions!B12</f>
        <v>85000</v>
      </c>
      <c r="E7" s="15">
        <f>Assumptions!B11*Assumptions!B12*0.15</f>
        <v>12750</v>
      </c>
      <c r="F7" s="19">
        <f t="shared" si="0"/>
        <v>72250</v>
      </c>
      <c r="G7" s="23" t="s">
        <v>67</v>
      </c>
    </row>
    <row r="8" ht="21.75" customHeight="1" spans="1:7">
      <c r="A8" s="17" t="s">
        <v>68</v>
      </c>
      <c r="B8" s="5" t="s">
        <v>69</v>
      </c>
      <c r="C8" s="18" t="s">
        <v>70</v>
      </c>
      <c r="D8" s="14">
        <f>Assumptions!B13*(Assumptions!B14/365)*Assumptions!B16*365</f>
        <v>331500</v>
      </c>
      <c r="E8" s="15">
        <f>Assumptions!B13*(Assumptions!B15/365)*Assumptions!B16*365</f>
        <v>19500</v>
      </c>
      <c r="F8" s="19">
        <f t="shared" si="0"/>
        <v>312000</v>
      </c>
      <c r="G8" s="20" t="s">
        <v>71</v>
      </c>
    </row>
    <row r="9" ht="21.75" customHeight="1" spans="1:7">
      <c r="A9" s="21" t="s">
        <v>72</v>
      </c>
      <c r="B9" s="9" t="s">
        <v>73</v>
      </c>
      <c r="C9" s="22" t="s">
        <v>74</v>
      </c>
      <c r="D9" s="14">
        <f>Assumptions!B17</f>
        <v>180000</v>
      </c>
      <c r="E9" s="15">
        <f>Assumptions!B17*0.95</f>
        <v>171000</v>
      </c>
      <c r="F9" s="19">
        <f t="shared" si="0"/>
        <v>9000</v>
      </c>
      <c r="G9" s="23" t="s">
        <v>75</v>
      </c>
    </row>
    <row r="10" ht="21.75" customHeight="1" spans="1:7">
      <c r="A10" s="17" t="s">
        <v>76</v>
      </c>
      <c r="B10" s="5" t="s">
        <v>77</v>
      </c>
      <c r="C10" s="18" t="s">
        <v>78</v>
      </c>
      <c r="D10" s="14">
        <f>(Assumptions!B21-Assumptions!B20)/Assumptions!B20*Assumptions!B18*Assumptions!B19</f>
        <v>155555.555555556</v>
      </c>
      <c r="E10" s="15">
        <f>(Assumptions!B21-Assumptions!B20)/Assumptions!B20*Assumptions!B18*Assumptions!B19*0.85</f>
        <v>132222.222222222</v>
      </c>
      <c r="F10" s="19">
        <f t="shared" si="0"/>
        <v>23333.3333333333</v>
      </c>
      <c r="G10" s="20" t="s">
        <v>79</v>
      </c>
    </row>
    <row r="11" ht="25.5" customHeight="1" spans="1:7">
      <c r="A11" s="24" t="s">
        <v>80</v>
      </c>
      <c r="B11" s="25" t="s">
        <v>81</v>
      </c>
      <c r="C11" s="24"/>
      <c r="D11" s="26">
        <f>SUM(D5:D10)</f>
        <v>883275.555555556</v>
      </c>
      <c r="E11" s="26">
        <f>SUM(E5:E10)</f>
        <v>440139.222222222</v>
      </c>
      <c r="F11" s="26">
        <f>SUM(F5:F10)</f>
        <v>443136.333333333</v>
      </c>
      <c r="G11" s="24"/>
    </row>
    <row r="13" ht="21.75" customHeight="1" spans="1:7">
      <c r="A13" s="27" t="s">
        <v>82</v>
      </c>
      <c r="B13" s="27"/>
      <c r="C13" s="27"/>
      <c r="D13" s="27"/>
      <c r="E13" s="27"/>
      <c r="F13" s="27"/>
      <c r="G13" s="27"/>
    </row>
    <row r="14" ht="21.75" customHeight="1" spans="1:7">
      <c r="A14" s="28" t="s">
        <v>83</v>
      </c>
      <c r="B14" s="28"/>
      <c r="C14" s="28"/>
      <c r="D14" s="28"/>
      <c r="E14" s="28"/>
      <c r="F14" s="28"/>
      <c r="G14" s="28"/>
    </row>
    <row r="15" ht="21.75" customHeight="1" spans="1:7">
      <c r="A15" s="28" t="s">
        <v>84</v>
      </c>
      <c r="B15" s="28"/>
      <c r="C15" s="28"/>
      <c r="D15" s="28"/>
      <c r="E15" s="28"/>
      <c r="F15" s="28"/>
      <c r="G15" s="28"/>
    </row>
  </sheetData>
  <mergeCells count="4">
    <mergeCell ref="A1:G1"/>
    <mergeCell ref="A13:G13"/>
    <mergeCell ref="A14:G14"/>
    <mergeCell ref="A15:G1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:D1"/>
    </sheetView>
  </sheetViews>
  <sheetFormatPr defaultColWidth="8.67592592592593" defaultRowHeight="14.4" outlineLevelCol="3"/>
  <cols>
    <col min="1" max="1" width="30" style="1" customWidth="1"/>
    <col min="2" max="4" width="20" style="1" customWidth="1"/>
  </cols>
  <sheetData>
    <row r="1" ht="31.5" customHeight="1" spans="1:4">
      <c r="A1" s="2" t="s">
        <v>85</v>
      </c>
      <c r="B1" s="2"/>
      <c r="C1" s="2"/>
      <c r="D1" s="2"/>
    </row>
    <row r="3" ht="15" customHeight="1" spans="1:4">
      <c r="A3" s="3" t="s">
        <v>86</v>
      </c>
      <c r="B3" s="4" t="s">
        <v>87</v>
      </c>
      <c r="C3" s="4" t="s">
        <v>88</v>
      </c>
      <c r="D3" s="4" t="s">
        <v>89</v>
      </c>
    </row>
    <row r="4" ht="21.75" customHeight="1" spans="1:4">
      <c r="A4" s="5" t="s">
        <v>90</v>
      </c>
      <c r="B4" s="6">
        <v>14.2</v>
      </c>
      <c r="C4" s="7">
        <v>8.1</v>
      </c>
      <c r="D4" s="8">
        <f>B5-C5</f>
        <v>-0.09</v>
      </c>
    </row>
    <row r="5" ht="21.75" customHeight="1" spans="1:4">
      <c r="A5" s="9" t="s">
        <v>91</v>
      </c>
      <c r="B5" s="10">
        <v>0.87</v>
      </c>
      <c r="C5" s="11">
        <v>0.96</v>
      </c>
      <c r="D5" s="12">
        <f>C6-B6</f>
        <v>5</v>
      </c>
    </row>
    <row r="6" ht="21.75" customHeight="1" spans="1:4">
      <c r="A6" s="5" t="s">
        <v>92</v>
      </c>
      <c r="B6" s="6">
        <v>9</v>
      </c>
      <c r="C6" s="7">
        <v>14</v>
      </c>
      <c r="D6" s="13">
        <f>C7-B7</f>
        <v>-8</v>
      </c>
    </row>
    <row r="7" ht="21.75" customHeight="1" spans="1:4">
      <c r="A7" s="9" t="s">
        <v>93</v>
      </c>
      <c r="B7" s="6">
        <v>8.5</v>
      </c>
      <c r="C7" s="7">
        <v>0.5</v>
      </c>
      <c r="D7" s="13">
        <f>B8-C8</f>
        <v>13</v>
      </c>
    </row>
    <row r="8" ht="21.75" customHeight="1" spans="1:4">
      <c r="A8" s="5" t="s">
        <v>94</v>
      </c>
      <c r="B8" s="6">
        <v>17</v>
      </c>
      <c r="C8" s="7">
        <v>4</v>
      </c>
      <c r="D8" s="13">
        <f>B9-C9</f>
        <v>600000</v>
      </c>
    </row>
    <row r="9" ht="21.75" customHeight="1" spans="1:4">
      <c r="A9" s="9" t="s">
        <v>95</v>
      </c>
      <c r="B9" s="14">
        <v>683200</v>
      </c>
      <c r="C9" s="15">
        <v>83200</v>
      </c>
      <c r="D9" s="16">
        <f>B10-C10</f>
        <v>-9</v>
      </c>
    </row>
    <row r="10" ht="21.75" customHeight="1" spans="1:4">
      <c r="A10" s="5" t="s">
        <v>96</v>
      </c>
      <c r="B10" s="6">
        <v>-9</v>
      </c>
      <c r="C10" s="7">
        <v>0</v>
      </c>
      <c r="D10" s="8">
        <f>C11-B11</f>
        <v>1</v>
      </c>
    </row>
    <row r="11" ht="21.75" customHeight="1" spans="1:4">
      <c r="A11" s="9" t="s">
        <v>97</v>
      </c>
      <c r="B11" s="10">
        <v>0</v>
      </c>
      <c r="C11" s="11">
        <v>1</v>
      </c>
      <c r="D11" s="12">
        <f>C12-B12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Assumptions</vt:lpstr>
      <vt:lpstr>ROI Calculation</vt:lpstr>
      <vt:lpstr>KPI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Pallav Undhad</cp:lastModifiedBy>
  <cp:revision>0</cp:revision>
  <dcterms:created xsi:type="dcterms:W3CDTF">2026-04-28T08:35:00Z</dcterms:created>
  <dcterms:modified xsi:type="dcterms:W3CDTF">2026-05-04T21:10:08Z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23E75F82E31D46A9A491D3108730FF46_13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